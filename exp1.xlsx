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<sst xmlns="http://schemas.openxmlformats.org/spreadsheetml/2006/main" count="35" uniqueCount="28">
  <si>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Roll</t>
  </si>
  <si>
    <t>Name</t>
  </si>
  <si>
    <t>Bengali</t>
  </si>
  <si>
    <t>English</t>
  </si>
  <si>
    <t>Computer</t>
  </si>
  <si>
    <t>Math</t>
  </si>
  <si>
    <t>Science</t>
  </si>
  <si>
    <t>Total</t>
  </si>
  <si>
    <t>Average</t>
  </si>
  <si>
    <t>Percentage</t>
  </si>
  <si>
    <t>Grade</t>
  </si>
  <si>
    <t>Result</t>
  </si>
  <si>
    <t>Amit</t>
  </si>
  <si>
    <t>Rina</t>
  </si>
  <si>
    <t>Suman</t>
  </si>
  <si>
    <t>Piya</t>
  </si>
  <si>
    <t>Rahul</t>
  </si>
  <si>
    <t>Sneha</t>
  </si>
  <si>
    <t>Ankit</t>
  </si>
  <si>
    <t>Mita</t>
  </si>
  <si>
    <t>Arjun</t>
  </si>
  <si>
    <t>Tania</t>
  </si>
  <si>
    <t>=SUM(C2:G2)</t>
  </si>
  <si>
    <t>=AVERAGE(C2:G2)</t>
  </si>
  <si>
    <t>=(H2/500)*100</t>
  </si>
  <si>
    <t>=IF(J2&lt;30,"D",IF(J2&lt;=45,"C",IF(J2&lt;=60,"B",IF(J2&lt;80,"A",IF(J2&lt;=100,"AA","Error")))))</t>
  </si>
  <si>
    <t>=IF(COUNTIF(C2:G2,"&lt;30")&gt;=1,"FAIL","PASS")</t>
  </si>
  <si>
    <t>=IF(AND(C2&gt;=30,D2&gt;=30,E2&gt;=30,F2&gt;=30,G2&gt;=30),"PASS","FAIL")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</si>
</sst>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Subject Wise Performance of Students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Bengali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Sheet1!$B$2:$B$11</c:f>
              <c:strCache>
                <c:ptCount val="10"/>
                <c:pt idx="0">
                  <c:v>Amit</c:v>
                </c:pt>
                <c:pt idx="1">
                  <c:v>Rina</c:v>
                </c:pt>
                <c:pt idx="2">
                  <c:v>Suman</c:v>
                </c:pt>
                <c:pt idx="3">
                  <c:v>Piya</c:v>
                </c:pt>
                <c:pt idx="4">
                  <c:v>Rahul</c:v>
                </c:pt>
                <c:pt idx="5">
                  <c:v>Sneha</c:v>
                </c:pt>
                <c:pt idx="6">
                  <c:v>Ankit</c:v>
                </c:pt>
                <c:pt idx="7">
                  <c:v>Mita</c:v>
                </c:pt>
                <c:pt idx="8">
                  <c:v>Arjun</c:v>
                </c:pt>
                <c:pt idx="9">
                  <c:v>Tania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65</c:v>
                </c:pt>
                <c:pt idx="1">
                  <c:v>45</c:v>
                </c:pt>
                <c:pt idx="2">
                  <c:v>80</c:v>
                </c:pt>
                <c:pt idx="3">
                  <c:v>30</c:v>
                </c:pt>
                <c:pt idx="4">
                  <c:v>68</c:v>
                </c:pt>
                <c:pt idx="5">
                  <c:v>90</c:v>
                </c:pt>
                <c:pt idx="6">
                  <c:v>55</c:v>
                </c:pt>
                <c:pt idx="7">
                  <c:v>40</c:v>
                </c:pt>
                <c:pt idx="8">
                  <c:v>77</c:v>
                </c:pt>
                <c:pt idx="9">
                  <c:v>66</c:v>
                </c:pt>
              </c:numCache>
            </c:numRef>
          </c:val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Sheet1!$B$2:$B$11</c:f>
              <c:strCache>
                <c:ptCount val="10"/>
                <c:pt idx="0">
                  <c:v>Amit</c:v>
                </c:pt>
                <c:pt idx="1">
                  <c:v>Rina</c:v>
                </c:pt>
                <c:pt idx="2">
                  <c:v>Suman</c:v>
                </c:pt>
                <c:pt idx="3">
                  <c:v>Piya</c:v>
                </c:pt>
                <c:pt idx="4">
                  <c:v>Rahul</c:v>
                </c:pt>
                <c:pt idx="5">
                  <c:v>Sneha</c:v>
                </c:pt>
                <c:pt idx="6">
                  <c:v>Ankit</c:v>
                </c:pt>
                <c:pt idx="7">
                  <c:v>Mita</c:v>
                </c:pt>
                <c:pt idx="8">
                  <c:v>Arjun</c:v>
                </c:pt>
                <c:pt idx="9">
                  <c:v>Tania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70</c:v>
                </c:pt>
                <c:pt idx="1">
                  <c:v>50</c:v>
                </c:pt>
                <c:pt idx="2">
                  <c:v>75</c:v>
                </c:pt>
                <c:pt idx="3">
                  <c:v>40</c:v>
                </c:pt>
                <c:pt idx="4">
                  <c:v>72</c:v>
                </c:pt>
                <c:pt idx="5">
                  <c:v>88</c:v>
                </c:pt>
                <c:pt idx="6">
                  <c:v>60</c:v>
                </c:pt>
                <c:pt idx="7">
                  <c:v>42</c:v>
                </c:pt>
                <c:pt idx="8">
                  <c:v>73</c:v>
                </c:pt>
                <c:pt idx="9">
                  <c:v>69</c:v>
                </c:pt>
              </c:numCache>
            </c:numRef>
          </c:val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Computer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Sheet1!$B$2:$B$11</c:f>
              <c:strCache>
                <c:ptCount val="10"/>
                <c:pt idx="0">
                  <c:v>Amit</c:v>
                </c:pt>
                <c:pt idx="1">
                  <c:v>Rina</c:v>
                </c:pt>
                <c:pt idx="2">
                  <c:v>Suman</c:v>
                </c:pt>
                <c:pt idx="3">
                  <c:v>Piya</c:v>
                </c:pt>
                <c:pt idx="4">
                  <c:v>Rahul</c:v>
                </c:pt>
                <c:pt idx="5">
                  <c:v>Sneha</c:v>
                </c:pt>
                <c:pt idx="6">
                  <c:v>Ankit</c:v>
                </c:pt>
                <c:pt idx="7">
                  <c:v>Mita</c:v>
                </c:pt>
                <c:pt idx="8">
                  <c:v>Arjun</c:v>
                </c:pt>
                <c:pt idx="9">
                  <c:v>Tania</c:v>
                </c:pt>
              </c:strCache>
            </c:str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80</c:v>
                </c:pt>
                <c:pt idx="1">
                  <c:v>60</c:v>
                </c:pt>
                <c:pt idx="2">
                  <c:v>88</c:v>
                </c:pt>
                <c:pt idx="3">
                  <c:v>55</c:v>
                </c:pt>
                <c:pt idx="4">
                  <c:v>79</c:v>
                </c:pt>
                <c:pt idx="5">
                  <c:v>95</c:v>
                </c:pt>
                <c:pt idx="6">
                  <c:v>75</c:v>
                </c:pt>
                <c:pt idx="7">
                  <c:v>49</c:v>
                </c:pt>
                <c:pt idx="8">
                  <c:v>86</c:v>
                </c:pt>
                <c:pt idx="9">
                  <c:v>62</c:v>
                </c:pt>
              </c:numCache>
            </c:numRef>
          </c:val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Sheet1!$B$2:$B$11</c:f>
              <c:strCache>
                <c:ptCount val="10"/>
                <c:pt idx="0">
                  <c:v>Amit</c:v>
                </c:pt>
                <c:pt idx="1">
                  <c:v>Rina</c:v>
                </c:pt>
                <c:pt idx="2">
                  <c:v>Suman</c:v>
                </c:pt>
                <c:pt idx="3">
                  <c:v>Piya</c:v>
                </c:pt>
                <c:pt idx="4">
                  <c:v>Rahul</c:v>
                </c:pt>
                <c:pt idx="5">
                  <c:v>Sneha</c:v>
                </c:pt>
                <c:pt idx="6">
                  <c:v>Ankit</c:v>
                </c:pt>
                <c:pt idx="7">
                  <c:v>Mita</c:v>
                </c:pt>
                <c:pt idx="8">
                  <c:v>Arjun</c:v>
                </c:pt>
                <c:pt idx="9">
                  <c:v>Tania</c:v>
                </c:pt>
              </c:strCache>
            </c:str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30</c:v>
                </c:pt>
                <c:pt idx="1">
                  <c:v>55</c:v>
                </c:pt>
                <c:pt idx="2">
                  <c:v>85</c:v>
                </c:pt>
                <c:pt idx="3">
                  <c:v>2</c:v>
                </c:pt>
                <c:pt idx="4">
                  <c:v>70</c:v>
                </c:pt>
                <c:pt idx="5">
                  <c:v>92</c:v>
                </c:pt>
                <c:pt idx="6">
                  <c:v>58</c:v>
                </c:pt>
                <c:pt idx="7">
                  <c:v>45</c:v>
                </c:pt>
                <c:pt idx="8">
                  <c:v>80</c:v>
                </c:pt>
                <c:pt idx="9">
                  <c:v>64</c:v>
                </c:pt>
              </c:numCache>
            </c:numRef>
          </c:val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Sheet1!$B$2:$B$11</c:f>
              <c:strCache>
                <c:ptCount val="10"/>
                <c:pt idx="0">
                  <c:v>Amit</c:v>
                </c:pt>
                <c:pt idx="1">
                  <c:v>Rina</c:v>
                </c:pt>
                <c:pt idx="2">
                  <c:v>Suman</c:v>
                </c:pt>
                <c:pt idx="3">
                  <c:v>Piya</c:v>
                </c:pt>
                <c:pt idx="4">
                  <c:v>Rahul</c:v>
                </c:pt>
                <c:pt idx="5">
                  <c:v>Sneha</c:v>
                </c:pt>
                <c:pt idx="6">
                  <c:v>Ankit</c:v>
                </c:pt>
                <c:pt idx="7">
                  <c:v>Mita</c:v>
                </c:pt>
                <c:pt idx="8">
                  <c:v>Arjun</c:v>
                </c:pt>
                <c:pt idx="9">
                  <c:v>Tania</c:v>
                </c:pt>
              </c:strCache>
            </c:strRef>
          </c:cat>
          <c:val>
            <c:numRef>
              <c:f>Sheet1!$G$2:$G$11</c:f>
              <c:numCache>
                <c:formatCode>General</c:formatCode>
                <c:ptCount val="10"/>
                <c:pt idx="0">
                  <c:v>30</c:v>
                </c:pt>
                <c:pt idx="1">
                  <c:v>48</c:v>
                </c:pt>
                <c:pt idx="2">
                  <c:v>78</c:v>
                </c:pt>
                <c:pt idx="3">
                  <c:v>38</c:v>
                </c:pt>
                <c:pt idx="4">
                  <c:v>74</c:v>
                </c:pt>
                <c:pt idx="5">
                  <c:v>85</c:v>
                </c:pt>
                <c:pt idx="6">
                  <c:v>62</c:v>
                </c:pt>
                <c:pt idx="7">
                  <c:v>48</c:v>
                </c:pt>
                <c:pt idx="8">
                  <c:v>76</c:v>
                </c:pt>
                <c:pt idx="9">
                  <c:v>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15915229"/>
        <c:axId val="39690757"/>
      </c:barChart>
      <c:catAx>
        <c:axId val="7159152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90757"/>
        <c:crosses val="autoZero"/>
        <c:auto val="1"/>
        <c:lblAlgn val="ctr"/>
        <c:lblOffset val="100"/>
        <c:noMultiLvlLbl val="0"/>
      </c:catAx>
      <c:valAx>
        <c:axId val="396907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9152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711200</xdr:colOff>
      <xdr:row>12</xdr:row>
      <xdr:rowOff>101600</xdr:rowOff>
    </xdr:from>
    <xdr:to>
      <xdr:col>6</xdr:col>
      <xdr:colOff>736600</xdr:colOff>
      <xdr:row>26</xdr:row>
      <xdr:rowOff>177800</xdr:rowOff>
    </xdr:to>
    <xdr:graphicFrame>
      <xdr:nvGraphicFramePr>
        <xdr:cNvPr id="3" name="Chart 2"/>
        <xdr:cNvGraphicFramePr/>
      </xdr:nvGraphicFramePr>
      <xdr:xfrm>
        <a:off x="711200" y="238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workbookViewId="0">
      <selection activeCell="I27" sqref="I27"/>
    </sheetView>
  </sheetViews>
  <sheetFormatPr defaultColWidth="9.14285714285714" defaultRowHeight="15"/>
  <cols>
    <col min="1" max="1" width="10.8571428571429" customWidth="1"/>
    <col min="2" max="2" width="10.2857142857143" customWidth="1"/>
    <col min="3" max="3" width="11.2857142857143" customWidth="1"/>
    <col min="4" max="5" width="12.5714285714286" customWidth="1"/>
    <col min="6" max="6" width="14.4285714285714" customWidth="1"/>
    <col min="7" max="7" width="16.2857142857143" customWidth="1"/>
    <col min="8" max="8" width="11.7142857142857" customWidth="1"/>
    <col min="10" max="10" width="11.7142857142857" customWidth="1"/>
    <col min="15" max="15" width="9.142857142857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</v>
      </c>
    </row>
    <row r="2" spans="1:13">
      <c r="A2" s="3">
        <v>1</v>
      </c>
      <c r="B2" s="3" t="s">
        <v>12</v>
      </c>
      <c r="C2" s="3">
        <v>65</v>
      </c>
      <c r="D2" s="3">
        <v>70</v>
      </c>
      <c r="E2" s="3">
        <v>80</v>
      </c>
      <c r="F2" s="3">
        <v>30</v>
      </c>
      <c r="G2" s="3">
        <v>30</v>
      </c>
      <c r="H2" s="4">
        <f>SUM(C2:G2)</f>
        <v>275</v>
      </c>
      <c r="I2">
        <f>AVERAGE(C2:G2)</f>
        <v>55</v>
      </c>
      <c r="J2">
        <f>(H2/500)*100</f>
        <v>55</v>
      </c>
      <c r="K2" t="str">
        <f>IF(J2&lt;30,"D",IF(J2&lt;=45,"C",IF(J2&lt;=60,"B",IF(J2&lt;80,"A",IF(J2&lt;=100,"AA","Error")))))</f>
        <v>B</v>
      </c>
      <c r="L2" t="str">
        <f>IF(COUNTIF(C2:G2,"&lt;30")&gt;=1,"FAIL","PASS")</f>
        <v>PASS</v>
      </c>
      <c r="M2" s="3" t="str">
        <f>IF(AND(C2&gt;=30,D2&gt;=30,E2&gt;=30,F2&gt;=30,G2&gt;=30),"PASS","FAIL")</f>
        <v>PASS</v>
      </c>
    </row>
    <row r="3" spans="1:13">
      <c r="A3" s="3">
        <v>2</v>
      </c>
      <c r="B3" s="3" t="s">
        <v>13</v>
      </c>
      <c r="C3" s="3">
        <v>45</v>
      </c>
      <c r="D3" s="3">
        <v>50</v>
      </c>
      <c r="E3" s="3">
        <v>60</v>
      </c>
      <c r="F3" s="3">
        <v>55</v>
      </c>
      <c r="G3" s="3">
        <v>48</v>
      </c>
      <c r="H3" s="4">
        <f t="shared" ref="H3:H11" si="0">SUM(C3:G3)</f>
        <v>258</v>
      </c>
      <c r="I3">
        <f t="shared" ref="I3:I11" si="1">AVERAGE(C3:G3)</f>
        <v>51.6</v>
      </c>
      <c r="J3">
        <f t="shared" ref="J3:J11" si="2">(H3/500)*100</f>
        <v>51.6</v>
      </c>
      <c r="K3" t="str">
        <f t="shared" ref="K3:K11" si="3">IF(J3&lt;30,"D",IF(J3&lt;=45,"C",IF(J3&lt;=60,"B",IF(J3&lt;80,"A",IF(J3&lt;=100,"AA","Error")))))</f>
        <v>B</v>
      </c>
      <c r="L3" t="str">
        <f t="shared" ref="L3:L11" si="4">IF(COUNTIF(C3:G3,"&lt;30")&gt;=1,"FAIL","PASS")</f>
        <v>PASS</v>
      </c>
      <c r="M3" s="3" t="str">
        <f t="shared" ref="M3:M11" si="5">IF(AND(C3&gt;=30,D3&gt;=30,E3&gt;=30,F3&gt;=30,G3&gt;=30),"PASS","FAIL")</f>
        <v>PASS</v>
      </c>
    </row>
    <row r="4" spans="1:13">
      <c r="A4" s="3">
        <v>3</v>
      </c>
      <c r="B4" s="3" t="s">
        <v>14</v>
      </c>
      <c r="C4" s="3">
        <v>80</v>
      </c>
      <c r="D4" s="3">
        <v>75</v>
      </c>
      <c r="E4" s="3">
        <v>88</v>
      </c>
      <c r="F4" s="3">
        <v>85</v>
      </c>
      <c r="G4" s="3">
        <v>78</v>
      </c>
      <c r="H4" s="4">
        <f t="shared" si="0"/>
        <v>406</v>
      </c>
      <c r="I4">
        <f t="shared" si="1"/>
        <v>81.2</v>
      </c>
      <c r="J4">
        <f t="shared" si="2"/>
        <v>81.2</v>
      </c>
      <c r="K4" t="str">
        <f t="shared" si="3"/>
        <v>AA</v>
      </c>
      <c r="L4" t="str">
        <f t="shared" si="4"/>
        <v>PASS</v>
      </c>
      <c r="M4" s="3" t="str">
        <f t="shared" si="5"/>
        <v>PASS</v>
      </c>
    </row>
    <row r="5" spans="1:13">
      <c r="A5" s="3">
        <v>4</v>
      </c>
      <c r="B5" s="3" t="s">
        <v>15</v>
      </c>
      <c r="C5" s="3">
        <v>30</v>
      </c>
      <c r="D5" s="3">
        <v>40</v>
      </c>
      <c r="E5" s="3">
        <v>55</v>
      </c>
      <c r="F5" s="3">
        <v>2</v>
      </c>
      <c r="G5" s="3">
        <v>38</v>
      </c>
      <c r="H5" s="4">
        <f t="shared" si="0"/>
        <v>165</v>
      </c>
      <c r="I5">
        <f t="shared" si="1"/>
        <v>33</v>
      </c>
      <c r="J5">
        <f t="shared" si="2"/>
        <v>33</v>
      </c>
      <c r="K5" t="str">
        <f t="shared" si="3"/>
        <v>C</v>
      </c>
      <c r="L5" t="str">
        <f t="shared" si="4"/>
        <v>FAIL</v>
      </c>
      <c r="M5" s="3" t="str">
        <f t="shared" si="5"/>
        <v>FAIL</v>
      </c>
    </row>
    <row r="6" spans="1:13">
      <c r="A6" s="3">
        <v>5</v>
      </c>
      <c r="B6" s="3" t="s">
        <v>16</v>
      </c>
      <c r="C6" s="3">
        <v>68</v>
      </c>
      <c r="D6" s="3">
        <v>72</v>
      </c>
      <c r="E6" s="3">
        <v>79</v>
      </c>
      <c r="F6" s="3">
        <v>70</v>
      </c>
      <c r="G6" s="3">
        <v>74</v>
      </c>
      <c r="H6" s="4">
        <f t="shared" si="0"/>
        <v>363</v>
      </c>
      <c r="I6">
        <f t="shared" si="1"/>
        <v>72.6</v>
      </c>
      <c r="J6">
        <f t="shared" si="2"/>
        <v>72.6</v>
      </c>
      <c r="K6" t="str">
        <f t="shared" si="3"/>
        <v>A</v>
      </c>
      <c r="L6" t="str">
        <f t="shared" si="4"/>
        <v>PASS</v>
      </c>
      <c r="M6" s="3" t="str">
        <f t="shared" si="5"/>
        <v>PASS</v>
      </c>
    </row>
    <row r="7" spans="1:13">
      <c r="A7" s="3">
        <v>6</v>
      </c>
      <c r="B7" s="3" t="s">
        <v>17</v>
      </c>
      <c r="C7" s="3">
        <v>90</v>
      </c>
      <c r="D7" s="3">
        <v>88</v>
      </c>
      <c r="E7" s="3">
        <v>95</v>
      </c>
      <c r="F7" s="3">
        <v>92</v>
      </c>
      <c r="G7" s="3">
        <v>85</v>
      </c>
      <c r="H7" s="4">
        <f t="shared" si="0"/>
        <v>450</v>
      </c>
      <c r="I7">
        <f t="shared" si="1"/>
        <v>90</v>
      </c>
      <c r="J7">
        <f t="shared" si="2"/>
        <v>90</v>
      </c>
      <c r="K7" t="str">
        <f t="shared" si="3"/>
        <v>AA</v>
      </c>
      <c r="L7" t="str">
        <f t="shared" si="4"/>
        <v>PASS</v>
      </c>
      <c r="M7" s="3" t="str">
        <f t="shared" si="5"/>
        <v>PASS</v>
      </c>
    </row>
    <row r="8" spans="1:13">
      <c r="A8" s="3">
        <v>7</v>
      </c>
      <c r="B8" s="3" t="s">
        <v>18</v>
      </c>
      <c r="C8" s="3">
        <v>55</v>
      </c>
      <c r="D8" s="3">
        <v>60</v>
      </c>
      <c r="E8" s="3">
        <v>75</v>
      </c>
      <c r="F8" s="3">
        <v>58</v>
      </c>
      <c r="G8" s="3">
        <v>62</v>
      </c>
      <c r="H8" s="4">
        <f t="shared" si="0"/>
        <v>310</v>
      </c>
      <c r="I8">
        <f t="shared" si="1"/>
        <v>62</v>
      </c>
      <c r="J8">
        <f t="shared" si="2"/>
        <v>62</v>
      </c>
      <c r="K8" t="str">
        <f t="shared" si="3"/>
        <v>A</v>
      </c>
      <c r="L8" t="str">
        <f t="shared" si="4"/>
        <v>PASS</v>
      </c>
      <c r="M8" s="3" t="str">
        <f t="shared" si="5"/>
        <v>PASS</v>
      </c>
    </row>
    <row r="9" spans="1:13">
      <c r="A9" s="3">
        <v>8</v>
      </c>
      <c r="B9" s="3" t="s">
        <v>19</v>
      </c>
      <c r="C9" s="3">
        <v>40</v>
      </c>
      <c r="D9" s="3">
        <v>42</v>
      </c>
      <c r="E9" s="3">
        <v>49</v>
      </c>
      <c r="F9" s="3">
        <v>45</v>
      </c>
      <c r="G9" s="3">
        <v>48</v>
      </c>
      <c r="H9" s="4">
        <f t="shared" si="0"/>
        <v>224</v>
      </c>
      <c r="I9">
        <f t="shared" si="1"/>
        <v>44.8</v>
      </c>
      <c r="J9">
        <f t="shared" si="2"/>
        <v>44.8</v>
      </c>
      <c r="K9" t="str">
        <f t="shared" si="3"/>
        <v>C</v>
      </c>
      <c r="L9" t="str">
        <f t="shared" si="4"/>
        <v>PASS</v>
      </c>
      <c r="M9" s="3" t="str">
        <f t="shared" si="5"/>
        <v>PASS</v>
      </c>
    </row>
    <row r="10" spans="1:13">
      <c r="A10" s="3">
        <v>9</v>
      </c>
      <c r="B10" s="3" t="s">
        <v>20</v>
      </c>
      <c r="C10" s="3">
        <v>77</v>
      </c>
      <c r="D10" s="3">
        <v>73</v>
      </c>
      <c r="E10" s="3">
        <v>86</v>
      </c>
      <c r="F10" s="3">
        <v>80</v>
      </c>
      <c r="G10" s="3">
        <v>76</v>
      </c>
      <c r="H10" s="4">
        <f t="shared" si="0"/>
        <v>392</v>
      </c>
      <c r="I10">
        <f t="shared" si="1"/>
        <v>78.4</v>
      </c>
      <c r="J10">
        <f t="shared" si="2"/>
        <v>78.4</v>
      </c>
      <c r="K10" t="str">
        <f t="shared" si="3"/>
        <v>A</v>
      </c>
      <c r="L10" t="str">
        <f t="shared" si="4"/>
        <v>PASS</v>
      </c>
      <c r="M10" s="3" t="str">
        <f t="shared" si="5"/>
        <v>PASS</v>
      </c>
    </row>
    <row r="11" spans="1:13">
      <c r="A11" s="3">
        <v>10</v>
      </c>
      <c r="B11" s="3" t="s">
        <v>21</v>
      </c>
      <c r="C11" s="3">
        <v>66</v>
      </c>
      <c r="D11" s="3">
        <v>69</v>
      </c>
      <c r="E11" s="3">
        <v>62</v>
      </c>
      <c r="F11" s="3">
        <v>64</v>
      </c>
      <c r="G11" s="3">
        <v>70</v>
      </c>
      <c r="H11" s="4">
        <f t="shared" si="0"/>
        <v>331</v>
      </c>
      <c r="I11">
        <f t="shared" si="1"/>
        <v>66.2</v>
      </c>
      <c r="J11">
        <f t="shared" si="2"/>
        <v>66.2</v>
      </c>
      <c r="K11" t="str">
        <f t="shared" si="3"/>
        <v>A</v>
      </c>
      <c r="L11" t="str">
        <f t="shared" si="4"/>
        <v>PASS</v>
      </c>
      <c r="M11" s="3" t="str">
        <f t="shared" si="5"/>
        <v>PASS</v>
      </c>
    </row>
    <row r="14" spans="8:13">
      <c r="H14" s="2" t="s">
        <v>7</v>
      </c>
      <c r="I14" s="6" t="s">
        <v>22</v>
      </c>
      <c r="J14" s="5"/>
      <c r="K14" s="5"/>
      <c r="L14" s="5"/>
      <c r="M14" s="5"/>
    </row>
    <row r="16" spans="8:13">
      <c r="H16" s="2" t="s">
        <v>8</v>
      </c>
      <c r="I16" s="6" t="s">
        <v>23</v>
      </c>
      <c r="J16" s="5"/>
      <c r="K16" s="5"/>
      <c r="L16" s="5"/>
      <c r="M16" s="5"/>
    </row>
    <row r="18" spans="8:13">
      <c r="H18" s="2" t="s">
        <v>9</v>
      </c>
      <c r="I18" s="6" t="s">
        <v>24</v>
      </c>
      <c r="J18" s="5"/>
      <c r="K18" s="5"/>
      <c r="L18" s="5"/>
      <c r="M18" s="5"/>
    </row>
    <row r="20" spans="8:9">
      <c r="H20" s="2" t="s">
        <v>10</v>
      </c>
      <c r="I20" s="6" t="s">
        <v>25</v>
      </c>
    </row>
    <row r="22" spans="8:14">
      <c r="H22" s="2" t="s">
        <v>11</v>
      </c>
      <c r="I22" s="6" t="s">
        <v>26</v>
      </c>
      <c r="J22" s="5"/>
      <c r="K22" s="5"/>
      <c r="L22" s="5"/>
      <c r="M22" s="5"/>
      <c r="N22" s="5"/>
    </row>
    <row r="24" spans="8:16">
      <c r="H24" s="2" t="s">
        <v>11</v>
      </c>
      <c r="I24" s="6" t="s">
        <v>27</v>
      </c>
      <c r="J24" s="5"/>
      <c r="K24" s="5"/>
      <c r="L24" s="5"/>
      <c r="M24" s="5"/>
      <c r="N24" s="5"/>
      <c r="O24" s="5"/>
      <c r="P24" s="5"/>
    </row>
  </sheetData>
  <mergeCells count="5">
    <mergeCell ref="I14:M14"/>
    <mergeCell ref="I16:M16"/>
    <mergeCell ref="I18:M18"/>
    <mergeCell ref="I22:N22"/>
    <mergeCell ref="I24:P2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</dc:creator>
  <cp:lastModifiedBy>Subhankar Mondal</cp:lastModifiedBy>
  <dcterms:created xsi:type="dcterms:W3CDTF">2026-01-03T15:55:47Z</dcterms:created>
  <dcterms:modified xsi:type="dcterms:W3CDTF">2026-01-03T16:38:13Z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DF3878222EF04592B00CBF63CB9C6B9C_11</vt:lpwstr>
  </property>
  <property fmtid="{D5CDD505-2E9C-101B-9397-08002B2CF9AE}" pid="3" name="KSOProductBuildVer">
    <vt:lpwstr>1033-12.2.0.23196</vt:lpwstr>
  </property>
</Properties>
</file>